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o" sheetId="1" r:id="rId4"/>
  </sheets>
  <definedNames/>
  <calcPr/>
</workbook>
</file>

<file path=xl/sharedStrings.xml><?xml version="1.0" encoding="utf-8"?>
<sst xmlns="http://schemas.openxmlformats.org/spreadsheetml/2006/main" count="37" uniqueCount="32">
  <si>
    <t>Code</t>
  </si>
  <si>
    <t>Group</t>
  </si>
  <si>
    <t>Origin</t>
  </si>
  <si>
    <t>Brand</t>
  </si>
  <si>
    <t>Gloss/Matte // Crystal/Normal // Dye / Pigment</t>
  </si>
  <si>
    <t>GSM // Micron // Volume (L)</t>
  </si>
  <si>
    <t>Size (width) // B,C,Y,M</t>
  </si>
  <si>
    <t>Size (length)</t>
  </si>
  <si>
    <t>Ream per carton</t>
  </si>
  <si>
    <t>Sheet per ream</t>
  </si>
  <si>
    <t>Unit Weight (Kg)</t>
  </si>
  <si>
    <t>Concantenation</t>
  </si>
  <si>
    <t>CP</t>
  </si>
  <si>
    <t>TH</t>
  </si>
  <si>
    <t>Double A</t>
  </si>
  <si>
    <t>ART</t>
  </si>
  <si>
    <t>KR</t>
  </si>
  <si>
    <t>Hansol</t>
  </si>
  <si>
    <t>Gloss</t>
  </si>
  <si>
    <t>CH</t>
  </si>
  <si>
    <t>NEVIA</t>
  </si>
  <si>
    <t>Matte</t>
  </si>
  <si>
    <t>RB</t>
  </si>
  <si>
    <t>Eagle</t>
  </si>
  <si>
    <t>TP</t>
  </si>
  <si>
    <t>HH</t>
  </si>
  <si>
    <t>Crystal</t>
  </si>
  <si>
    <t>INK</t>
  </si>
  <si>
    <t>IT</t>
  </si>
  <si>
    <t>Dye</t>
  </si>
  <si>
    <t>Black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</si>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</sst>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;(#,##0.00)"/>
  </numFmts>
  <fonts count="2">
    <font>
      <sz val="10.0"/>
      <color rgb="FF000000"/>
      <name val="Arial"/>
      <scheme val="minor"/>
    </font>
    <font>
      <sz val="12.0"/>
      <color theme="1"/>
      <name val="Lexend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0" width="19.25"/>
    <col customWidth="1" min="11" max="11" width="22.25"/>
    <col customWidth="1" min="12" max="12" width="83.0"/>
    <col customWidth="1" min="13" max="28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1">
        <v>1001.0</v>
      </c>
      <c r="B2" s="1" t="s">
        <v>12</v>
      </c>
      <c r="C2" s="1" t="s">
        <v>13</v>
      </c>
      <c r="D2" s="1" t="s">
        <v>14</v>
      </c>
      <c r="E2" s="1"/>
      <c r="F2" s="1">
        <v>80.0</v>
      </c>
      <c r="G2" s="1">
        <v>21.0</v>
      </c>
      <c r="H2" s="1">
        <v>29.7</v>
      </c>
      <c r="I2" s="1">
        <v>5.0</v>
      </c>
      <c r="J2" s="1">
        <v>500.0</v>
      </c>
      <c r="K2" s="4">
        <f t="shared" ref="K2:K4" si="1">(F2/1000)*((G2/100)*(H2/100))*I2*J2</f>
        <v>12.474</v>
      </c>
      <c r="L2" s="5" t="str">
        <f>CONCATENATE(B2,"-",C2,"-",D2,"-",F2,"gsm","-",G2,"X",H2,"-",I2,"P/C","-",J2,"Sheet","-",K2,"kg")</f>
        <v>CP-TH-Double A-80gsm-21X29.7-5P/C-500Sheet-12.474kg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1">
        <v>3001.0</v>
      </c>
      <c r="B3" s="1" t="s">
        <v>15</v>
      </c>
      <c r="C3" s="1" t="s">
        <v>16</v>
      </c>
      <c r="D3" s="1" t="s">
        <v>17</v>
      </c>
      <c r="E3" s="1" t="s">
        <v>18</v>
      </c>
      <c r="F3" s="1">
        <v>170.0</v>
      </c>
      <c r="G3" s="1">
        <v>60.0</v>
      </c>
      <c r="H3" s="1">
        <v>90.0</v>
      </c>
      <c r="I3" s="1">
        <v>1.0</v>
      </c>
      <c r="J3" s="1">
        <v>250.0</v>
      </c>
      <c r="K3" s="4">
        <f t="shared" si="1"/>
        <v>22.95</v>
      </c>
      <c r="L3" s="5" t="str">
        <f t="shared" ref="L3:L4" si="2">CONCATENATE(B3,"-",C3,"-",D3,"-",E3,"-",F3,"gsm","-",G3,"X",H3,"-",J3,"Sheet","-",K3,"kg")</f>
        <v>ART-KR-Hansol-Gloss-170gsm-60X90-250Sheet-22.95kg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1">
        <v>3002.0</v>
      </c>
      <c r="B4" s="1" t="s">
        <v>15</v>
      </c>
      <c r="C4" s="1" t="s">
        <v>19</v>
      </c>
      <c r="D4" s="1" t="s">
        <v>20</v>
      </c>
      <c r="E4" s="1" t="s">
        <v>21</v>
      </c>
      <c r="F4" s="1">
        <v>90.0</v>
      </c>
      <c r="G4" s="1">
        <v>70.0</v>
      </c>
      <c r="H4" s="1">
        <v>100.0</v>
      </c>
      <c r="I4" s="1">
        <v>1.0</v>
      </c>
      <c r="J4" s="1">
        <v>250.0</v>
      </c>
      <c r="K4" s="4">
        <f t="shared" si="1"/>
        <v>15.75</v>
      </c>
      <c r="L4" s="5" t="str">
        <f t="shared" si="2"/>
        <v>ART-CH-NEVIA-Matte-90gsm-70X100-250Sheet-15.75kg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1">
        <v>14001.0</v>
      </c>
      <c r="B5" s="1" t="s">
        <v>22</v>
      </c>
      <c r="C5" s="1" t="s">
        <v>13</v>
      </c>
      <c r="D5" s="1" t="s">
        <v>23</v>
      </c>
      <c r="E5" s="1" t="s">
        <v>21</v>
      </c>
      <c r="F5" s="1">
        <v>70.0</v>
      </c>
      <c r="G5" s="1">
        <v>5.0</v>
      </c>
      <c r="H5" s="3"/>
      <c r="I5" s="3"/>
      <c r="J5" s="3"/>
      <c r="K5" s="2">
        <v>14.0</v>
      </c>
      <c r="L5" s="5" t="str">
        <f>CONCATENATE(B5,"-",C5,"-",D5,"-",F5,"gsm","-",G5,"cm","-",K5,"kg")</f>
        <v>RB-TH-Eagle-70gsm-5cm-14kg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1">
        <v>9001.0</v>
      </c>
      <c r="B6" s="1" t="s">
        <v>24</v>
      </c>
      <c r="C6" s="1" t="s">
        <v>19</v>
      </c>
      <c r="D6" s="1" t="s">
        <v>25</v>
      </c>
      <c r="E6" s="1" t="s">
        <v>26</v>
      </c>
      <c r="F6" s="1">
        <v>45.0</v>
      </c>
      <c r="G6" s="1">
        <v>45.0</v>
      </c>
      <c r="H6" s="1">
        <v>90.0</v>
      </c>
      <c r="I6" s="3"/>
      <c r="J6" s="3"/>
      <c r="K6" s="4">
        <f>(F6/1000)*((G6/100)*(H6/100))*I6*J6</f>
        <v>0</v>
      </c>
      <c r="L6" s="5" t="str">
        <f>CONCATENATE(B6,"-",C6,"-",D6,"-",E6,"-",F6,"mic","-",G6,"mm","-",H6,"Y")</f>
        <v>TP-CH-HH-Crystal-45mic-45mm-90Y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1">
        <v>130001.0</v>
      </c>
      <c r="B7" s="1" t="s">
        <v>27</v>
      </c>
      <c r="C7" s="1" t="s">
        <v>16</v>
      </c>
      <c r="D7" s="1" t="s">
        <v>28</v>
      </c>
      <c r="E7" s="1" t="s">
        <v>29</v>
      </c>
      <c r="F7" s="1">
        <v>1.0</v>
      </c>
      <c r="G7" s="1" t="s">
        <v>30</v>
      </c>
      <c r="H7" s="3"/>
      <c r="I7" s="3"/>
      <c r="J7" s="3"/>
      <c r="K7" s="2" t="s">
        <v>31</v>
      </c>
      <c r="L7" s="5" t="str">
        <f>CONCATENATE(B7,"-",C7,"-",D7,"-",E7,"-",F7,"L","-",G7)</f>
        <v>INK-KR-IT-Dye-1L-Black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4">
        <f t="shared" ref="K8:K84" si="3">(F8/1000)*((G8/100)*(H8/100))*I8*J8</f>
        <v>0</v>
      </c>
      <c r="L8" s="5" t="str">
        <f t="shared" ref="L8:L84" si="4">CONCATENATE(B8,"-",C8,"-",D8,"-",E8,"-",F8,"gsm","-",G8,"X",H8,"-",J8,"Sheet","-",K8,"kg")</f>
        <v>----gsm-X-Sheet-0kg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4">
        <f t="shared" si="3"/>
        <v>0</v>
      </c>
      <c r="L9" s="5" t="str">
        <f t="shared" si="4"/>
        <v>----gsm-X-Sheet-0kg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4">
        <f t="shared" si="3"/>
        <v>0</v>
      </c>
      <c r="L10" s="5" t="str">
        <f t="shared" si="4"/>
        <v>----gsm-X-Sheet-0kg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4">
        <f t="shared" si="3"/>
        <v>0</v>
      </c>
      <c r="L11" s="5" t="str">
        <f t="shared" si="4"/>
        <v>----gsm-X-Sheet-0kg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4">
        <f t="shared" si="3"/>
        <v>0</v>
      </c>
      <c r="L12" s="5" t="str">
        <f t="shared" si="4"/>
        <v>----gsm-X-Sheet-0kg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4">
        <f t="shared" si="3"/>
        <v>0</v>
      </c>
      <c r="L13" s="5" t="str">
        <f t="shared" si="4"/>
        <v>----gsm-X-Sheet-0kg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4">
        <f t="shared" si="3"/>
        <v>0</v>
      </c>
      <c r="L14" s="5" t="str">
        <f t="shared" si="4"/>
        <v>----gsm-X-Sheet-0kg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4">
        <f t="shared" si="3"/>
        <v>0</v>
      </c>
      <c r="L15" s="5" t="str">
        <f t="shared" si="4"/>
        <v>----gsm-X-Sheet-0kg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4">
        <f t="shared" si="3"/>
        <v>0</v>
      </c>
      <c r="L16" s="5" t="str">
        <f t="shared" si="4"/>
        <v>----gsm-X-Sheet-0kg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4">
        <f t="shared" si="3"/>
        <v>0</v>
      </c>
      <c r="L17" s="5" t="str">
        <f t="shared" si="4"/>
        <v>----gsm-X-Sheet-0kg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4">
        <f t="shared" si="3"/>
        <v>0</v>
      </c>
      <c r="L18" s="5" t="str">
        <f t="shared" si="4"/>
        <v>----gsm-X-Sheet-0kg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4">
        <f t="shared" si="3"/>
        <v>0</v>
      </c>
      <c r="L19" s="5" t="str">
        <f t="shared" si="4"/>
        <v>----gsm-X-Sheet-0kg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4">
        <f t="shared" si="3"/>
        <v>0</v>
      </c>
      <c r="L20" s="5" t="str">
        <f t="shared" si="4"/>
        <v>----gsm-X-Sheet-0kg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4">
        <f t="shared" si="3"/>
        <v>0</v>
      </c>
      <c r="L21" s="5" t="str">
        <f t="shared" si="4"/>
        <v>----gsm-X-Sheet-0kg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4">
        <f t="shared" si="3"/>
        <v>0</v>
      </c>
      <c r="L22" s="5" t="str">
        <f t="shared" si="4"/>
        <v>----gsm-X-Sheet-0kg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4">
        <f t="shared" si="3"/>
        <v>0</v>
      </c>
      <c r="L23" s="5" t="str">
        <f t="shared" si="4"/>
        <v>----gsm-X-Sheet-0kg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4">
        <f t="shared" si="3"/>
        <v>0</v>
      </c>
      <c r="L24" s="5" t="str">
        <f t="shared" si="4"/>
        <v>----gsm-X-Sheet-0kg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4">
        <f t="shared" si="3"/>
        <v>0</v>
      </c>
      <c r="L25" s="5" t="str">
        <f t="shared" si="4"/>
        <v>----gsm-X-Sheet-0kg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4">
        <f t="shared" si="3"/>
        <v>0</v>
      </c>
      <c r="L26" s="5" t="str">
        <f t="shared" si="4"/>
        <v>----gsm-X-Sheet-0kg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4">
        <f t="shared" si="3"/>
        <v>0</v>
      </c>
      <c r="L27" s="5" t="str">
        <f t="shared" si="4"/>
        <v>----gsm-X-Sheet-0kg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4">
        <f t="shared" si="3"/>
        <v>0</v>
      </c>
      <c r="L28" s="5" t="str">
        <f t="shared" si="4"/>
        <v>----gsm-X-Sheet-0kg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4">
        <f t="shared" si="3"/>
        <v>0</v>
      </c>
      <c r="L29" s="5" t="str">
        <f t="shared" si="4"/>
        <v>----gsm-X-Sheet-0kg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4">
        <f t="shared" si="3"/>
        <v>0</v>
      </c>
      <c r="L30" s="5" t="str">
        <f t="shared" si="4"/>
        <v>----gsm-X-Sheet-0kg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4">
        <f t="shared" si="3"/>
        <v>0</v>
      </c>
      <c r="L31" s="5" t="str">
        <f t="shared" si="4"/>
        <v>----gsm-X-Sheet-0kg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4">
        <f t="shared" si="3"/>
        <v>0</v>
      </c>
      <c r="L32" s="5" t="str">
        <f t="shared" si="4"/>
        <v>----gsm-X-Sheet-0kg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4">
        <f t="shared" si="3"/>
        <v>0</v>
      </c>
      <c r="L33" s="5" t="str">
        <f t="shared" si="4"/>
        <v>----gsm-X-Sheet-0kg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4">
        <f t="shared" si="3"/>
        <v>0</v>
      </c>
      <c r="L34" s="5" t="str">
        <f t="shared" si="4"/>
        <v>----gsm-X-Sheet-0kg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4">
        <f t="shared" si="3"/>
        <v>0</v>
      </c>
      <c r="L35" s="5" t="str">
        <f t="shared" si="4"/>
        <v>----gsm-X-Sheet-0kg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4">
        <f t="shared" si="3"/>
        <v>0</v>
      </c>
      <c r="L36" s="5" t="str">
        <f t="shared" si="4"/>
        <v>----gsm-X-Sheet-0kg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4">
        <f t="shared" si="3"/>
        <v>0</v>
      </c>
      <c r="L37" s="5" t="str">
        <f t="shared" si="4"/>
        <v>----gsm-X-Sheet-0kg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4">
        <f t="shared" si="3"/>
        <v>0</v>
      </c>
      <c r="L38" s="5" t="str">
        <f t="shared" si="4"/>
        <v>----gsm-X-Sheet-0kg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4">
        <f t="shared" si="3"/>
        <v>0</v>
      </c>
      <c r="L39" s="5" t="str">
        <f t="shared" si="4"/>
        <v>----gsm-X-Sheet-0kg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4">
        <f t="shared" si="3"/>
        <v>0</v>
      </c>
      <c r="L40" s="5" t="str">
        <f t="shared" si="4"/>
        <v>----gsm-X-Sheet-0kg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4">
        <f t="shared" si="3"/>
        <v>0</v>
      </c>
      <c r="L41" s="5" t="str">
        <f t="shared" si="4"/>
        <v>----gsm-X-Sheet-0kg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4">
        <f t="shared" si="3"/>
        <v>0</v>
      </c>
      <c r="L42" s="5" t="str">
        <f t="shared" si="4"/>
        <v>----gsm-X-Sheet-0kg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4">
        <f t="shared" si="3"/>
        <v>0</v>
      </c>
      <c r="L43" s="5" t="str">
        <f t="shared" si="4"/>
        <v>----gsm-X-Sheet-0kg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4">
        <f t="shared" si="3"/>
        <v>0</v>
      </c>
      <c r="L44" s="5" t="str">
        <f t="shared" si="4"/>
        <v>----gsm-X-Sheet-0kg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4">
        <f t="shared" si="3"/>
        <v>0</v>
      </c>
      <c r="L45" s="5" t="str">
        <f t="shared" si="4"/>
        <v>----gsm-X-Sheet-0kg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4">
        <f t="shared" si="3"/>
        <v>0</v>
      </c>
      <c r="L46" s="5" t="str">
        <f t="shared" si="4"/>
        <v>----gsm-X-Sheet-0kg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4">
        <f t="shared" si="3"/>
        <v>0</v>
      </c>
      <c r="L47" s="5" t="str">
        <f t="shared" si="4"/>
        <v>----gsm-X-Sheet-0kg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4">
        <f t="shared" si="3"/>
        <v>0</v>
      </c>
      <c r="L48" s="5" t="str">
        <f t="shared" si="4"/>
        <v>----gsm-X-Sheet-0kg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4">
        <f t="shared" si="3"/>
        <v>0</v>
      </c>
      <c r="L49" s="5" t="str">
        <f t="shared" si="4"/>
        <v>----gsm-X-Sheet-0kg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4">
        <f t="shared" si="3"/>
        <v>0</v>
      </c>
      <c r="L50" s="5" t="str">
        <f t="shared" si="4"/>
        <v>----gsm-X-Sheet-0kg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4">
        <f t="shared" si="3"/>
        <v>0</v>
      </c>
      <c r="L51" s="5" t="str">
        <f t="shared" si="4"/>
        <v>----gsm-X-Sheet-0kg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4">
        <f t="shared" si="3"/>
        <v>0</v>
      </c>
      <c r="L52" s="5" t="str">
        <f t="shared" si="4"/>
        <v>----gsm-X-Sheet-0kg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4">
        <f t="shared" si="3"/>
        <v>0</v>
      </c>
      <c r="L53" s="5" t="str">
        <f t="shared" si="4"/>
        <v>----gsm-X-Sheet-0kg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4">
        <f t="shared" si="3"/>
        <v>0</v>
      </c>
      <c r="L54" s="5" t="str">
        <f t="shared" si="4"/>
        <v>----gsm-X-Sheet-0kg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4">
        <f t="shared" si="3"/>
        <v>0</v>
      </c>
      <c r="L55" s="5" t="str">
        <f t="shared" si="4"/>
        <v>----gsm-X-Sheet-0kg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4">
        <f t="shared" si="3"/>
        <v>0</v>
      </c>
      <c r="L56" s="5" t="str">
        <f t="shared" si="4"/>
        <v>----gsm-X-Sheet-0kg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4">
        <f t="shared" si="3"/>
        <v>0</v>
      </c>
      <c r="L57" s="5" t="str">
        <f t="shared" si="4"/>
        <v>----gsm-X-Sheet-0kg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4">
        <f t="shared" si="3"/>
        <v>0</v>
      </c>
      <c r="L58" s="5" t="str">
        <f t="shared" si="4"/>
        <v>----gsm-X-Sheet-0kg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4">
        <f t="shared" si="3"/>
        <v>0</v>
      </c>
      <c r="L59" s="5" t="str">
        <f t="shared" si="4"/>
        <v>----gsm-X-Sheet-0kg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4">
        <f t="shared" si="3"/>
        <v>0</v>
      </c>
      <c r="L60" s="5" t="str">
        <f t="shared" si="4"/>
        <v>----gsm-X-Sheet-0kg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4">
        <f t="shared" si="3"/>
        <v>0</v>
      </c>
      <c r="L61" s="5" t="str">
        <f t="shared" si="4"/>
        <v>----gsm-X-Sheet-0kg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4">
        <f t="shared" si="3"/>
        <v>0</v>
      </c>
      <c r="L62" s="5" t="str">
        <f t="shared" si="4"/>
        <v>----gsm-X-Sheet-0kg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4">
        <f t="shared" si="3"/>
        <v>0</v>
      </c>
      <c r="L63" s="5" t="str">
        <f t="shared" si="4"/>
        <v>----gsm-X-Sheet-0kg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4">
        <f t="shared" si="3"/>
        <v>0</v>
      </c>
      <c r="L64" s="5" t="str">
        <f t="shared" si="4"/>
        <v>----gsm-X-Sheet-0kg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4">
        <f t="shared" si="3"/>
        <v>0</v>
      </c>
      <c r="L65" s="5" t="str">
        <f t="shared" si="4"/>
        <v>----gsm-X-Sheet-0kg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4">
        <f t="shared" si="3"/>
        <v>0</v>
      </c>
      <c r="L66" s="5" t="str">
        <f t="shared" si="4"/>
        <v>----gsm-X-Sheet-0kg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4">
        <f t="shared" si="3"/>
        <v>0</v>
      </c>
      <c r="L67" s="5" t="str">
        <f t="shared" si="4"/>
        <v>----gsm-X-Sheet-0kg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4">
        <f t="shared" si="3"/>
        <v>0</v>
      </c>
      <c r="L68" s="5" t="str">
        <f t="shared" si="4"/>
        <v>----gsm-X-Sheet-0kg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4">
        <f t="shared" si="3"/>
        <v>0</v>
      </c>
      <c r="L69" s="5" t="str">
        <f t="shared" si="4"/>
        <v>----gsm-X-Sheet-0kg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4">
        <f t="shared" si="3"/>
        <v>0</v>
      </c>
      <c r="L70" s="5" t="str">
        <f t="shared" si="4"/>
        <v>----gsm-X-Sheet-0kg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4">
        <f t="shared" si="3"/>
        <v>0</v>
      </c>
      <c r="L71" s="5" t="str">
        <f t="shared" si="4"/>
        <v>----gsm-X-Sheet-0kg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4">
        <f t="shared" si="3"/>
        <v>0</v>
      </c>
      <c r="L72" s="5" t="str">
        <f t="shared" si="4"/>
        <v>----gsm-X-Sheet-0kg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4">
        <f t="shared" si="3"/>
        <v>0</v>
      </c>
      <c r="L73" s="5" t="str">
        <f t="shared" si="4"/>
        <v>----gsm-X-Sheet-0kg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4">
        <f t="shared" si="3"/>
        <v>0</v>
      </c>
      <c r="L74" s="5" t="str">
        <f t="shared" si="4"/>
        <v>----gsm-X-Sheet-0kg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4">
        <f t="shared" si="3"/>
        <v>0</v>
      </c>
      <c r="L75" s="5" t="str">
        <f t="shared" si="4"/>
        <v>----gsm-X-Sheet-0kg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4">
        <f t="shared" si="3"/>
        <v>0</v>
      </c>
      <c r="L76" s="5" t="str">
        <f t="shared" si="4"/>
        <v>----gsm-X-Sheet-0kg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4">
        <f t="shared" si="3"/>
        <v>0</v>
      </c>
      <c r="L77" s="5" t="str">
        <f t="shared" si="4"/>
        <v>----gsm-X-Sheet-0kg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4">
        <f t="shared" si="3"/>
        <v>0</v>
      </c>
      <c r="L78" s="5" t="str">
        <f t="shared" si="4"/>
        <v>----gsm-X-Sheet-0kg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4">
        <f t="shared" si="3"/>
        <v>0</v>
      </c>
      <c r="L79" s="5" t="str">
        <f t="shared" si="4"/>
        <v>----gsm-X-Sheet-0kg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4">
        <f t="shared" si="3"/>
        <v>0</v>
      </c>
      <c r="L80" s="5" t="str">
        <f t="shared" si="4"/>
        <v>----gsm-X-Sheet-0kg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4">
        <f t="shared" si="3"/>
        <v>0</v>
      </c>
      <c r="L81" s="5" t="str">
        <f t="shared" si="4"/>
        <v>----gsm-X-Sheet-0kg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4">
        <f t="shared" si="3"/>
        <v>0</v>
      </c>
      <c r="L82" s="5" t="str">
        <f t="shared" si="4"/>
        <v>----gsm-X-Sheet-0kg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4">
        <f t="shared" si="3"/>
        <v>0</v>
      </c>
      <c r="L83" s="5" t="str">
        <f t="shared" si="4"/>
        <v>----gsm-X-Sheet-0kg</v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4">
        <f t="shared" si="3"/>
        <v>0</v>
      </c>
      <c r="L84" s="5" t="str">
        <f t="shared" si="4"/>
        <v>----gsm-X-Sheet-0kg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4"/>
      <c r="L85" s="5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4"/>
      <c r="L86" s="5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4"/>
      <c r="L87" s="5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4"/>
      <c r="L88" s="5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4"/>
      <c r="L89" s="5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4"/>
      <c r="L90" s="5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4"/>
      <c r="L91" s="5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4"/>
      <c r="L92" s="5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4"/>
      <c r="L93" s="5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4"/>
      <c r="L94" s="5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4"/>
      <c r="L95" s="5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4"/>
      <c r="L96" s="5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4"/>
      <c r="L97" s="5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4"/>
      <c r="L98" s="5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4"/>
      <c r="L99" s="5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4"/>
      <c r="L100" s="5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4"/>
      <c r="L101" s="5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4"/>
      <c r="L102" s="5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4"/>
      <c r="L103" s="5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4"/>
      <c r="L104" s="5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4"/>
      <c r="L105" s="5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4"/>
      <c r="L106" s="5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4"/>
      <c r="L107" s="5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4"/>
      <c r="L108" s="5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4"/>
      <c r="L109" s="5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4"/>
      <c r="L110" s="5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4"/>
      <c r="L111" s="5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4"/>
      <c r="L112" s="5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4"/>
      <c r="L113" s="5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4"/>
      <c r="L114" s="5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4"/>
      <c r="L115" s="5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4"/>
      <c r="L116" s="5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4"/>
      <c r="L117" s="5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4"/>
      <c r="L118" s="5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4"/>
      <c r="L119" s="5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4"/>
      <c r="L120" s="5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4"/>
      <c r="L121" s="5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4"/>
      <c r="L122" s="5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4"/>
      <c r="L123" s="5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4"/>
      <c r="L124" s="5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4"/>
      <c r="L125" s="5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4"/>
      <c r="L126" s="5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4"/>
      <c r="L127" s="5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4"/>
      <c r="L128" s="5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4"/>
      <c r="L129" s="5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4"/>
      <c r="L130" s="5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4"/>
      <c r="L131" s="5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4"/>
      <c r="L132" s="5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4"/>
      <c r="L133" s="5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4"/>
      <c r="L134" s="5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4"/>
      <c r="L135" s="5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4"/>
      <c r="L136" s="5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4"/>
      <c r="L137" s="5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4"/>
      <c r="L138" s="5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4"/>
      <c r="L139" s="5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4"/>
      <c r="L140" s="5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4"/>
      <c r="L141" s="5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4"/>
      <c r="L142" s="5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4"/>
      <c r="L143" s="5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4"/>
      <c r="L144" s="5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4"/>
      <c r="L145" s="5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4"/>
      <c r="L146" s="5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4"/>
      <c r="L147" s="5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4"/>
      <c r="L148" s="5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4"/>
      <c r="L149" s="5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4"/>
      <c r="L150" s="5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4"/>
      <c r="L151" s="5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4"/>
      <c r="L152" s="5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4"/>
      <c r="L153" s="5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4"/>
      <c r="L154" s="5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4"/>
      <c r="L155" s="5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4"/>
      <c r="L156" s="5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4"/>
      <c r="L157" s="5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4"/>
      <c r="L158" s="5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4"/>
      <c r="L159" s="5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4"/>
      <c r="L160" s="5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4"/>
      <c r="L161" s="5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4"/>
      <c r="L162" s="5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4"/>
      <c r="L163" s="5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4"/>
      <c r="L164" s="5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4"/>
      <c r="L165" s="5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4"/>
      <c r="L166" s="5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4"/>
      <c r="L167" s="5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4"/>
      <c r="L168" s="5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4"/>
      <c r="L169" s="5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4"/>
      <c r="L170" s="5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4"/>
      <c r="L171" s="5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4"/>
      <c r="L172" s="5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4"/>
      <c r="L173" s="5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4"/>
      <c r="L174" s="5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4"/>
      <c r="L175" s="5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4"/>
      <c r="L176" s="5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4"/>
      <c r="L177" s="5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4"/>
      <c r="L178" s="5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4"/>
      <c r="L179" s="5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4"/>
      <c r="L180" s="5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4"/>
      <c r="L181" s="5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4"/>
      <c r="L182" s="5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4"/>
      <c r="L183" s="5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4"/>
      <c r="L184" s="5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4"/>
      <c r="L185" s="5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4"/>
      <c r="L186" s="5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4"/>
      <c r="L187" s="5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4"/>
      <c r="L188" s="5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4"/>
      <c r="L189" s="5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4"/>
      <c r="L190" s="5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4"/>
      <c r="L191" s="5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4"/>
      <c r="L192" s="5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4"/>
      <c r="L193" s="5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4"/>
      <c r="L194" s="5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4"/>
      <c r="L195" s="5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4"/>
      <c r="L196" s="5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4"/>
      <c r="L197" s="5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4"/>
      <c r="L198" s="5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4"/>
      <c r="L199" s="5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4"/>
      <c r="L200" s="5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4"/>
      <c r="L201" s="5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4"/>
      <c r="L202" s="5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4"/>
      <c r="L203" s="5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4"/>
      <c r="L204" s="5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4"/>
      <c r="L205" s="5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4"/>
      <c r="L206" s="5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4"/>
      <c r="L207" s="5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4"/>
      <c r="L208" s="5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4"/>
      <c r="L209" s="5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4"/>
      <c r="L210" s="5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4"/>
      <c r="L211" s="5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4"/>
      <c r="L212" s="5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4"/>
      <c r="L213" s="5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4"/>
      <c r="L214" s="5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4"/>
      <c r="L215" s="5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4"/>
      <c r="L216" s="5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4"/>
      <c r="L217" s="5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4"/>
      <c r="L218" s="5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4"/>
      <c r="L219" s="5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4"/>
      <c r="L220" s="5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4"/>
      <c r="L221" s="5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4"/>
      <c r="L222" s="5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4"/>
      <c r="L223" s="5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4"/>
      <c r="L224" s="5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4"/>
      <c r="L225" s="5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4"/>
      <c r="L226" s="5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4"/>
      <c r="L227" s="5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4"/>
      <c r="L228" s="5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4"/>
      <c r="L229" s="5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4"/>
      <c r="L230" s="5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4"/>
      <c r="L231" s="5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4"/>
      <c r="L232" s="5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4"/>
      <c r="L233" s="5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4"/>
      <c r="L234" s="5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4"/>
      <c r="L235" s="5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4"/>
      <c r="L236" s="5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4"/>
      <c r="L237" s="5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4"/>
      <c r="L238" s="5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4"/>
      <c r="L239" s="5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4"/>
      <c r="L240" s="5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4"/>
      <c r="L241" s="5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4"/>
      <c r="L242" s="5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4"/>
      <c r="L243" s="5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4"/>
      <c r="L244" s="5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4"/>
      <c r="L245" s="5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4"/>
      <c r="L246" s="5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4"/>
      <c r="L247" s="5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4"/>
      <c r="L248" s="5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4"/>
      <c r="L249" s="5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4"/>
      <c r="L250" s="5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4"/>
      <c r="L251" s="5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4"/>
      <c r="L252" s="5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4"/>
      <c r="L253" s="5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4"/>
      <c r="L254" s="5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4"/>
      <c r="L255" s="5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4"/>
      <c r="L256" s="5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4"/>
      <c r="L257" s="5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4"/>
      <c r="L258" s="5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4"/>
      <c r="L259" s="5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4"/>
      <c r="L260" s="5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4"/>
      <c r="L261" s="5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4"/>
      <c r="L262" s="5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4"/>
      <c r="L263" s="5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4"/>
      <c r="L264" s="5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4"/>
      <c r="L265" s="5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4"/>
      <c r="L266" s="5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4"/>
      <c r="L267" s="5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4"/>
      <c r="L268" s="5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4"/>
      <c r="L269" s="5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4"/>
      <c r="L270" s="5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4"/>
      <c r="L271" s="5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4"/>
      <c r="L272" s="5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4"/>
      <c r="L273" s="5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4"/>
      <c r="L274" s="5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4"/>
      <c r="L275" s="5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4"/>
      <c r="L276" s="5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4"/>
      <c r="L277" s="5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4"/>
      <c r="L278" s="5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4"/>
      <c r="L279" s="5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4"/>
      <c r="L280" s="5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4"/>
      <c r="L281" s="5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4"/>
      <c r="L282" s="5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4"/>
      <c r="L283" s="5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4"/>
      <c r="L284" s="5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4"/>
      <c r="L285" s="5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4"/>
      <c r="L286" s="5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4"/>
      <c r="L287" s="5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4"/>
      <c r="L288" s="5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4"/>
      <c r="L289" s="5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4"/>
      <c r="L290" s="5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4"/>
      <c r="L291" s="5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4"/>
      <c r="L292" s="5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4"/>
      <c r="L293" s="5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4"/>
      <c r="L294" s="5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4"/>
      <c r="L295" s="5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4"/>
      <c r="L296" s="5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4"/>
      <c r="L297" s="5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4"/>
      <c r="L298" s="5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4"/>
      <c r="L299" s="5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4"/>
      <c r="L300" s="5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4"/>
      <c r="L301" s="5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4"/>
      <c r="L302" s="5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4"/>
      <c r="L303" s="5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4"/>
      <c r="L304" s="5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4"/>
      <c r="L305" s="5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4"/>
      <c r="L306" s="5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4"/>
      <c r="L307" s="5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4"/>
      <c r="L308" s="5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4"/>
      <c r="L309" s="5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4"/>
      <c r="L310" s="5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4"/>
      <c r="L311" s="5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4"/>
      <c r="L312" s="5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4"/>
      <c r="L313" s="5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4"/>
      <c r="L314" s="5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4"/>
      <c r="L315" s="5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4"/>
      <c r="L316" s="5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4"/>
      <c r="L317" s="5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4"/>
      <c r="L318" s="5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4"/>
      <c r="L319" s="5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4"/>
      <c r="L320" s="5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4"/>
      <c r="L321" s="5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4"/>
      <c r="L322" s="5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4"/>
      <c r="L323" s="5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4"/>
      <c r="L324" s="5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4"/>
      <c r="L325" s="5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4"/>
      <c r="L326" s="5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4"/>
      <c r="L327" s="5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4"/>
      <c r="L328" s="5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4"/>
      <c r="L329" s="5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4"/>
      <c r="L330" s="5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4"/>
      <c r="L331" s="5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4"/>
      <c r="L332" s="5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4"/>
      <c r="L333" s="5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4"/>
      <c r="L334" s="5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4"/>
      <c r="L335" s="5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4"/>
      <c r="L336" s="5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4"/>
      <c r="L337" s="5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4"/>
      <c r="L338" s="5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4"/>
      <c r="L339" s="5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4"/>
      <c r="L340" s="5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4"/>
      <c r="L341" s="5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4"/>
      <c r="L342" s="5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4"/>
      <c r="L343" s="5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4"/>
      <c r="L344" s="5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4"/>
      <c r="L345" s="5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4"/>
      <c r="L346" s="5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4"/>
      <c r="L347" s="5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4"/>
      <c r="L348" s="5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4"/>
      <c r="L349" s="5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4"/>
      <c r="L350" s="5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4"/>
      <c r="L351" s="5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4"/>
      <c r="L352" s="5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4"/>
      <c r="L353" s="5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4"/>
      <c r="L354" s="5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4"/>
      <c r="L355" s="5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4"/>
      <c r="L356" s="5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4"/>
      <c r="L357" s="5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4"/>
      <c r="L358" s="5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4"/>
      <c r="L359" s="5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4"/>
      <c r="L360" s="5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4"/>
      <c r="L361" s="5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4"/>
      <c r="L362" s="5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4"/>
      <c r="L363" s="5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4"/>
      <c r="L364" s="5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4"/>
      <c r="L365" s="5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4"/>
      <c r="L366" s="5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4"/>
      <c r="L367" s="5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4"/>
      <c r="L368" s="5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4"/>
      <c r="L369" s="5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4"/>
      <c r="L370" s="5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4"/>
      <c r="L371" s="5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4"/>
      <c r="L372" s="5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4"/>
      <c r="L373" s="5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4"/>
      <c r="L374" s="5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4"/>
      <c r="L375" s="5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4"/>
      <c r="L376" s="5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4"/>
      <c r="L377" s="5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4"/>
      <c r="L378" s="5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4"/>
      <c r="L379" s="5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4"/>
      <c r="L380" s="5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4"/>
      <c r="L381" s="5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4"/>
      <c r="L382" s="5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4"/>
      <c r="L383" s="5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4"/>
      <c r="L384" s="5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4"/>
      <c r="L385" s="5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4"/>
      <c r="L386" s="5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4"/>
      <c r="L387" s="5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4"/>
      <c r="L388" s="5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4"/>
      <c r="L389" s="5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4"/>
      <c r="L390" s="5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4"/>
      <c r="L391" s="5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4"/>
      <c r="L392" s="5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4"/>
      <c r="L393" s="5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4"/>
      <c r="L394" s="5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4"/>
      <c r="L395" s="5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4"/>
      <c r="L396" s="5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4"/>
      <c r="L397" s="5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4"/>
      <c r="L398" s="5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4"/>
      <c r="L399" s="5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4"/>
      <c r="L400" s="5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4"/>
      <c r="L401" s="5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4"/>
      <c r="L402" s="5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4"/>
      <c r="L403" s="5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4"/>
      <c r="L404" s="5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4"/>
      <c r="L405" s="5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4"/>
      <c r="L406" s="5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4"/>
      <c r="L407" s="5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4"/>
      <c r="L408" s="5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4"/>
      <c r="L409" s="5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4"/>
      <c r="L410" s="5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4"/>
      <c r="L411" s="5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4"/>
      <c r="L412" s="5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4"/>
      <c r="L413" s="5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4"/>
      <c r="L414" s="5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4"/>
      <c r="L415" s="5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4"/>
      <c r="L416" s="5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4"/>
      <c r="L417" s="5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4"/>
      <c r="L418" s="5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4"/>
      <c r="L419" s="5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4"/>
      <c r="L420" s="5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4"/>
      <c r="L421" s="5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4"/>
      <c r="L422" s="5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4"/>
      <c r="L423" s="5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4"/>
      <c r="L424" s="5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4"/>
      <c r="L425" s="5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4"/>
      <c r="L426" s="5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4"/>
      <c r="L427" s="5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4"/>
      <c r="L428" s="5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4"/>
      <c r="L429" s="5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4"/>
      <c r="L430" s="5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4"/>
      <c r="L431" s="5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4"/>
      <c r="L432" s="5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4"/>
      <c r="L433" s="5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4"/>
      <c r="L434" s="5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4"/>
      <c r="L435" s="5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4"/>
      <c r="L436" s="5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4"/>
      <c r="L437" s="5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4"/>
      <c r="L438" s="5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4"/>
      <c r="L439" s="5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4"/>
      <c r="L440" s="5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4"/>
      <c r="L441" s="5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4"/>
      <c r="L442" s="5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4"/>
      <c r="L443" s="5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4"/>
      <c r="L444" s="5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4"/>
      <c r="L445" s="5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4"/>
      <c r="L446" s="5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4"/>
      <c r="L447" s="5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4"/>
      <c r="L448" s="5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4"/>
      <c r="L449" s="5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4"/>
      <c r="L450" s="5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4"/>
      <c r="L451" s="5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4"/>
      <c r="L452" s="5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4"/>
      <c r="L453" s="5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4"/>
      <c r="L454" s="5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4"/>
      <c r="L455" s="5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4"/>
      <c r="L456" s="5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4"/>
      <c r="L457" s="5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4"/>
      <c r="L458" s="5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4"/>
      <c r="L459" s="5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4"/>
      <c r="L460" s="5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4"/>
      <c r="L461" s="5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4"/>
      <c r="L462" s="5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4"/>
      <c r="L463" s="5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4"/>
      <c r="L464" s="5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4"/>
      <c r="L465" s="5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4"/>
      <c r="L466" s="5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4"/>
      <c r="L467" s="5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4"/>
      <c r="L468" s="5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4"/>
      <c r="L469" s="5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4"/>
      <c r="L470" s="5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4"/>
      <c r="L471" s="5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4"/>
      <c r="L472" s="5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4"/>
      <c r="L473" s="5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4"/>
      <c r="L474" s="5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4"/>
      <c r="L475" s="5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4"/>
      <c r="L476" s="5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4"/>
      <c r="L477" s="5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4"/>
      <c r="L478" s="5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4"/>
      <c r="L479" s="5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4"/>
      <c r="L480" s="5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4"/>
      <c r="L481" s="5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4"/>
      <c r="L482" s="5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4"/>
      <c r="L483" s="5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4"/>
      <c r="L484" s="5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4"/>
      <c r="L485" s="5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4"/>
      <c r="L486" s="5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4"/>
      <c r="L487" s="5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4"/>
      <c r="L488" s="5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4"/>
      <c r="L489" s="5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4"/>
      <c r="L490" s="5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4"/>
      <c r="L491" s="5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4"/>
      <c r="L492" s="5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4"/>
      <c r="L493" s="5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4"/>
      <c r="L494" s="5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4"/>
      <c r="L495" s="5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4"/>
      <c r="L496" s="5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4"/>
      <c r="L497" s="5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4"/>
      <c r="L498" s="5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4"/>
      <c r="L499" s="5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4"/>
      <c r="L500" s="5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4"/>
      <c r="L501" s="5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4"/>
      <c r="L502" s="5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4"/>
      <c r="L503" s="5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4"/>
      <c r="L504" s="5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4"/>
      <c r="L505" s="5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4"/>
      <c r="L506" s="5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4"/>
      <c r="L507" s="5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4"/>
      <c r="L508" s="5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4"/>
      <c r="L509" s="5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4"/>
      <c r="L510" s="5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4"/>
      <c r="L511" s="5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4"/>
      <c r="L512" s="5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4"/>
      <c r="L513" s="5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4"/>
      <c r="L514" s="5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4"/>
      <c r="L515" s="5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4"/>
      <c r="L516" s="5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4"/>
      <c r="L517" s="5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4"/>
      <c r="L518" s="5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4"/>
      <c r="L519" s="5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4"/>
      <c r="L520" s="5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4"/>
      <c r="L521" s="5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4"/>
      <c r="L522" s="5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4"/>
      <c r="L523" s="5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4"/>
      <c r="L524" s="5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4"/>
      <c r="L525" s="5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4"/>
      <c r="L526" s="5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4"/>
      <c r="L527" s="5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4"/>
      <c r="L528" s="5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4"/>
      <c r="L529" s="5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4"/>
      <c r="L530" s="5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4"/>
      <c r="L531" s="5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4"/>
      <c r="L532" s="5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4"/>
      <c r="L533" s="5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4"/>
      <c r="L534" s="5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4"/>
      <c r="L535" s="5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4"/>
      <c r="L536" s="5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4"/>
      <c r="L537" s="5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4"/>
      <c r="L538" s="5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4"/>
      <c r="L539" s="5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4"/>
      <c r="L540" s="5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4"/>
      <c r="L541" s="5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4"/>
      <c r="L542" s="5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4"/>
      <c r="L543" s="5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4"/>
      <c r="L544" s="5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4"/>
      <c r="L545" s="5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4"/>
      <c r="L546" s="5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4"/>
      <c r="L547" s="5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4"/>
      <c r="L548" s="5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4"/>
      <c r="L549" s="5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4"/>
      <c r="L550" s="5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4"/>
      <c r="L551" s="5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4"/>
      <c r="L552" s="5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4"/>
      <c r="L553" s="5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4"/>
      <c r="L554" s="5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4"/>
      <c r="L555" s="5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4"/>
      <c r="L556" s="5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4"/>
      <c r="L557" s="5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4"/>
      <c r="L558" s="5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4"/>
      <c r="L559" s="5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4"/>
      <c r="L560" s="5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4"/>
      <c r="L561" s="5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4"/>
      <c r="L562" s="5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4"/>
      <c r="L563" s="5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4"/>
      <c r="L564" s="5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4"/>
      <c r="L565" s="5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4"/>
      <c r="L566" s="5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4"/>
      <c r="L567" s="5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4"/>
      <c r="L568" s="5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4"/>
      <c r="L569" s="5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4"/>
      <c r="L570" s="5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4"/>
      <c r="L571" s="5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4"/>
      <c r="L572" s="5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4"/>
      <c r="L573" s="5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4"/>
      <c r="L574" s="5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4"/>
      <c r="L575" s="5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4"/>
      <c r="L576" s="5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4"/>
      <c r="L577" s="5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4"/>
      <c r="L578" s="5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4"/>
      <c r="L579" s="5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4"/>
      <c r="L580" s="5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4"/>
      <c r="L581" s="5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4"/>
      <c r="L582" s="5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4"/>
      <c r="L583" s="5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4"/>
      <c r="L584" s="5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4"/>
      <c r="L585" s="5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4"/>
      <c r="L586" s="5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4"/>
      <c r="L587" s="5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4"/>
      <c r="L588" s="5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4"/>
      <c r="L589" s="5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4"/>
      <c r="L590" s="5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4"/>
      <c r="L591" s="5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4"/>
      <c r="L592" s="5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4"/>
      <c r="L593" s="5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4"/>
      <c r="L594" s="5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4"/>
      <c r="L595" s="5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4"/>
      <c r="L596" s="5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4"/>
      <c r="L597" s="5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4"/>
      <c r="L598" s="5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4"/>
      <c r="L599" s="5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4"/>
      <c r="L600" s="5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4"/>
      <c r="L601" s="5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4"/>
      <c r="L602" s="5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4"/>
      <c r="L603" s="5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4"/>
      <c r="L604" s="5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4"/>
      <c r="L605" s="5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4"/>
      <c r="L606" s="5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4"/>
      <c r="L607" s="5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4"/>
      <c r="L608" s="5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4"/>
      <c r="L609" s="5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4"/>
      <c r="L610" s="5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4"/>
      <c r="L611" s="5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4"/>
      <c r="L612" s="5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4"/>
      <c r="L613" s="5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4"/>
      <c r="L614" s="5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4"/>
      <c r="L615" s="5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4"/>
      <c r="L616" s="5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4"/>
      <c r="L617" s="5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4"/>
      <c r="L618" s="5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4"/>
      <c r="L619" s="5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4"/>
      <c r="L620" s="5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4"/>
      <c r="L621" s="5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4"/>
      <c r="L622" s="5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4"/>
      <c r="L623" s="5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4"/>
      <c r="L624" s="5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4"/>
      <c r="L625" s="5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4"/>
      <c r="L626" s="5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4"/>
      <c r="L627" s="5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4"/>
      <c r="L628" s="5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4"/>
      <c r="L629" s="5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4"/>
      <c r="L630" s="5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4"/>
      <c r="L631" s="5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4"/>
      <c r="L632" s="5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4"/>
      <c r="L633" s="5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4"/>
      <c r="L634" s="5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4"/>
      <c r="L635" s="5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4"/>
      <c r="L636" s="5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4"/>
      <c r="L637" s="5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4"/>
      <c r="L638" s="5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4"/>
      <c r="L639" s="5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4"/>
      <c r="L640" s="5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4"/>
      <c r="L641" s="5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4"/>
      <c r="L642" s="5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4"/>
      <c r="L643" s="5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4"/>
      <c r="L644" s="5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4"/>
      <c r="L645" s="5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4"/>
      <c r="L646" s="5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4"/>
      <c r="L647" s="5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4"/>
      <c r="L648" s="5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4"/>
      <c r="L649" s="5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4"/>
      <c r="L650" s="5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4"/>
      <c r="L651" s="5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4"/>
      <c r="L652" s="5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4"/>
      <c r="L653" s="5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4"/>
      <c r="L654" s="5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4"/>
      <c r="L655" s="5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4"/>
      <c r="L656" s="5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4"/>
      <c r="L657" s="5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4"/>
      <c r="L658" s="5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4"/>
      <c r="L659" s="5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4"/>
      <c r="L660" s="5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4"/>
      <c r="L661" s="5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4"/>
      <c r="L662" s="5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4"/>
      <c r="L663" s="5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4"/>
      <c r="L664" s="5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4"/>
      <c r="L665" s="5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4"/>
      <c r="L666" s="5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4"/>
      <c r="L667" s="5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4"/>
      <c r="L668" s="5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4"/>
      <c r="L669" s="5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4"/>
      <c r="L670" s="5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4"/>
      <c r="L671" s="5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4"/>
      <c r="L672" s="5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4"/>
      <c r="L673" s="5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4"/>
      <c r="L674" s="5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4"/>
      <c r="L675" s="5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4"/>
      <c r="L676" s="5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4"/>
      <c r="L677" s="5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4"/>
      <c r="L678" s="5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4"/>
      <c r="L679" s="5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4"/>
      <c r="L680" s="5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4"/>
      <c r="L681" s="5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4"/>
      <c r="L682" s="5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4"/>
      <c r="L683" s="5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4"/>
      <c r="L684" s="5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4"/>
      <c r="L685" s="5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4"/>
      <c r="L686" s="5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4"/>
      <c r="L687" s="5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4"/>
      <c r="L688" s="5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4"/>
      <c r="L689" s="5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4"/>
      <c r="L690" s="5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4"/>
      <c r="L691" s="5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4"/>
      <c r="L692" s="5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4"/>
      <c r="L693" s="5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4"/>
      <c r="L694" s="5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4"/>
      <c r="L695" s="5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4"/>
      <c r="L696" s="5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4"/>
      <c r="L697" s="5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4"/>
      <c r="L698" s="5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4"/>
      <c r="L699" s="5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4"/>
      <c r="L700" s="5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4"/>
      <c r="L701" s="5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4"/>
      <c r="L702" s="5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4"/>
      <c r="L703" s="5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4"/>
      <c r="L704" s="5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4"/>
      <c r="L705" s="5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4"/>
      <c r="L706" s="5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4"/>
      <c r="L707" s="5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4"/>
      <c r="L708" s="5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4"/>
      <c r="L709" s="5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4"/>
      <c r="L710" s="5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4"/>
      <c r="L711" s="5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4"/>
      <c r="L712" s="5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4"/>
      <c r="L713" s="5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4"/>
      <c r="L714" s="5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4"/>
      <c r="L715" s="5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4"/>
      <c r="L716" s="5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4"/>
      <c r="L717" s="5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4"/>
      <c r="L718" s="5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4"/>
      <c r="L719" s="5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4"/>
      <c r="L720" s="5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4"/>
      <c r="L721" s="5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4"/>
      <c r="L722" s="5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4"/>
      <c r="L723" s="5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4"/>
      <c r="L724" s="5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4"/>
      <c r="L725" s="5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4"/>
      <c r="L726" s="5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4"/>
      <c r="L727" s="5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4"/>
      <c r="L728" s="5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4"/>
      <c r="L729" s="5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4"/>
      <c r="L730" s="5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4"/>
      <c r="L731" s="5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4"/>
      <c r="L732" s="5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4"/>
      <c r="L733" s="5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4"/>
      <c r="L734" s="5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4"/>
      <c r="L735" s="5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4"/>
      <c r="L736" s="5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4"/>
      <c r="L737" s="5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4"/>
      <c r="L738" s="5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4"/>
      <c r="L739" s="5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4"/>
      <c r="L740" s="5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4"/>
      <c r="L741" s="5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4"/>
      <c r="L742" s="5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4"/>
      <c r="L743" s="5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4"/>
      <c r="L744" s="5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4"/>
      <c r="L745" s="5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4"/>
      <c r="L746" s="5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4"/>
      <c r="L747" s="5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4"/>
      <c r="L748" s="5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4"/>
      <c r="L749" s="5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4"/>
      <c r="L750" s="5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4"/>
      <c r="L751" s="5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4"/>
      <c r="L752" s="5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4"/>
      <c r="L753" s="5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4"/>
      <c r="L754" s="5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4"/>
      <c r="L755" s="5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4"/>
      <c r="L756" s="5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4"/>
      <c r="L757" s="5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4"/>
      <c r="L758" s="5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4"/>
      <c r="L759" s="5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4"/>
      <c r="L760" s="5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4"/>
      <c r="L761" s="5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4"/>
      <c r="L762" s="5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4"/>
      <c r="L763" s="5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4"/>
      <c r="L764" s="5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4"/>
      <c r="L765" s="5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4"/>
      <c r="L766" s="5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4"/>
      <c r="L767" s="5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4"/>
      <c r="L768" s="5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4"/>
      <c r="L769" s="5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4"/>
      <c r="L770" s="5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4"/>
      <c r="L771" s="5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4"/>
      <c r="L772" s="5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4"/>
      <c r="L773" s="5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4"/>
      <c r="L774" s="5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4"/>
      <c r="L775" s="5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4"/>
      <c r="L776" s="5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4"/>
      <c r="L777" s="5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4"/>
      <c r="L778" s="5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4"/>
      <c r="L779" s="5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4"/>
      <c r="L780" s="5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4"/>
      <c r="L781" s="5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4"/>
      <c r="L782" s="5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4"/>
      <c r="L783" s="5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4"/>
      <c r="L784" s="5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4"/>
      <c r="L785" s="5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4"/>
      <c r="L786" s="5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4"/>
      <c r="L787" s="5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4"/>
      <c r="L788" s="5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4"/>
      <c r="L789" s="5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4"/>
      <c r="L790" s="5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4"/>
      <c r="L791" s="5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4"/>
      <c r="L792" s="5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4"/>
      <c r="L793" s="5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4"/>
      <c r="L794" s="5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4"/>
      <c r="L795" s="5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4"/>
      <c r="L796" s="5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4"/>
      <c r="L797" s="5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4"/>
      <c r="L798" s="5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4"/>
      <c r="L799" s="5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4"/>
      <c r="L800" s="5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4"/>
      <c r="L801" s="5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4"/>
      <c r="L802" s="5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4"/>
      <c r="L803" s="5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4"/>
      <c r="L804" s="5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4"/>
      <c r="L805" s="5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4"/>
      <c r="L806" s="5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4"/>
      <c r="L807" s="5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4"/>
      <c r="L808" s="5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4"/>
      <c r="L809" s="5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4"/>
      <c r="L810" s="5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4"/>
      <c r="L811" s="5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4"/>
      <c r="L812" s="5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4"/>
      <c r="L813" s="5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4"/>
      <c r="L814" s="5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4"/>
      <c r="L815" s="5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4"/>
      <c r="L816" s="5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4"/>
      <c r="L817" s="5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4"/>
      <c r="L818" s="5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4"/>
      <c r="L819" s="5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4"/>
      <c r="L820" s="5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4"/>
      <c r="L821" s="5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4"/>
      <c r="L822" s="5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4"/>
      <c r="L823" s="5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4"/>
      <c r="L824" s="5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4"/>
      <c r="L825" s="5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4"/>
      <c r="L826" s="5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4"/>
      <c r="L827" s="5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4"/>
      <c r="L828" s="5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4"/>
      <c r="L829" s="5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4"/>
      <c r="L830" s="5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4"/>
      <c r="L831" s="5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4"/>
      <c r="L832" s="5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4"/>
      <c r="L833" s="5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4"/>
      <c r="L834" s="5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4"/>
      <c r="L835" s="5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4"/>
      <c r="L836" s="5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4"/>
      <c r="L837" s="5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4"/>
      <c r="L838" s="5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4"/>
      <c r="L839" s="5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4"/>
      <c r="L840" s="5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4"/>
      <c r="L841" s="5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4"/>
      <c r="L842" s="5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4"/>
      <c r="L843" s="5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4"/>
      <c r="L844" s="5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4"/>
      <c r="L845" s="5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4"/>
      <c r="L846" s="5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4"/>
      <c r="L847" s="5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4"/>
      <c r="L848" s="5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4"/>
      <c r="L849" s="5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4"/>
      <c r="L850" s="5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4"/>
      <c r="L851" s="5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4"/>
      <c r="L852" s="5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4"/>
      <c r="L853" s="5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4"/>
      <c r="L854" s="5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4"/>
      <c r="L855" s="5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4"/>
      <c r="L856" s="5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4"/>
      <c r="L857" s="5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4"/>
      <c r="L858" s="5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4"/>
      <c r="L859" s="5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4"/>
      <c r="L860" s="5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4"/>
      <c r="L861" s="5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4"/>
      <c r="L862" s="5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4"/>
      <c r="L863" s="5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4"/>
      <c r="L864" s="5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4"/>
      <c r="L865" s="5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4"/>
      <c r="L866" s="5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4"/>
      <c r="L867" s="5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4"/>
      <c r="L868" s="5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4"/>
      <c r="L869" s="5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4"/>
      <c r="L870" s="5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4"/>
      <c r="L871" s="5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4"/>
      <c r="L872" s="5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4"/>
      <c r="L873" s="5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4"/>
      <c r="L874" s="5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4"/>
      <c r="L875" s="5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4"/>
      <c r="L876" s="5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4"/>
      <c r="L877" s="5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4"/>
      <c r="L878" s="5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4"/>
      <c r="L879" s="5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4"/>
      <c r="L880" s="5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4"/>
      <c r="L881" s="5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4"/>
      <c r="L882" s="5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4"/>
      <c r="L883" s="5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4"/>
      <c r="L884" s="5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4"/>
      <c r="L885" s="5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4"/>
      <c r="L886" s="5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4"/>
      <c r="L887" s="5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4"/>
      <c r="L888" s="5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4"/>
      <c r="L889" s="5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4"/>
      <c r="L890" s="5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4"/>
      <c r="L891" s="5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4"/>
      <c r="L892" s="5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4"/>
      <c r="L893" s="5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4"/>
      <c r="L894" s="5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4"/>
      <c r="L895" s="5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4"/>
      <c r="L896" s="5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4"/>
      <c r="L897" s="5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4"/>
      <c r="L898" s="5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4"/>
      <c r="L899" s="5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4"/>
      <c r="L900" s="5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4"/>
      <c r="L901" s="5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4"/>
      <c r="L902" s="5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4"/>
      <c r="L903" s="5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4"/>
      <c r="L904" s="5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4"/>
      <c r="L905" s="5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4"/>
      <c r="L906" s="5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4"/>
      <c r="L907" s="5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4"/>
      <c r="L908" s="5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4"/>
      <c r="L909" s="5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4"/>
      <c r="L910" s="5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4"/>
      <c r="L911" s="5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4"/>
      <c r="L912" s="5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4"/>
      <c r="L913" s="5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4"/>
      <c r="L914" s="5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4"/>
      <c r="L915" s="5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4"/>
      <c r="L916" s="5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4"/>
      <c r="L917" s="5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4"/>
      <c r="L918" s="5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4"/>
      <c r="L919" s="5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4"/>
      <c r="L920" s="5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4"/>
      <c r="L921" s="5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4"/>
      <c r="L922" s="5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4"/>
      <c r="L923" s="5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4"/>
      <c r="L924" s="5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4"/>
      <c r="L925" s="5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4"/>
      <c r="L926" s="5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4"/>
      <c r="L927" s="5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4"/>
      <c r="L928" s="5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4"/>
      <c r="L929" s="5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4"/>
      <c r="L930" s="5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4"/>
      <c r="L931" s="5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4"/>
      <c r="L932" s="5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4"/>
      <c r="L933" s="5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4"/>
      <c r="L934" s="5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4"/>
      <c r="L935" s="5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4"/>
      <c r="L936" s="5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4"/>
      <c r="L937" s="5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4"/>
      <c r="L938" s="5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4"/>
      <c r="L939" s="5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4"/>
      <c r="L940" s="5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4"/>
      <c r="L941" s="5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4"/>
      <c r="L942" s="5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4"/>
      <c r="L943" s="5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4"/>
      <c r="L944" s="5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4"/>
      <c r="L945" s="5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4"/>
      <c r="L946" s="5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4"/>
      <c r="L947" s="5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4"/>
      <c r="L948" s="5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4"/>
      <c r="L949" s="5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4"/>
      <c r="L950" s="5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4"/>
      <c r="L951" s="5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4"/>
      <c r="L952" s="5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4"/>
      <c r="L953" s="5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4"/>
      <c r="L954" s="5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4"/>
      <c r="L955" s="5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4"/>
      <c r="L956" s="5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4"/>
      <c r="L957" s="5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4"/>
      <c r="L958" s="5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4"/>
      <c r="L959" s="5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4"/>
      <c r="L960" s="5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4"/>
      <c r="L961" s="5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4"/>
      <c r="L962" s="5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4"/>
      <c r="L963" s="5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4"/>
      <c r="L964" s="5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4"/>
      <c r="L965" s="5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4"/>
      <c r="L966" s="5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4"/>
      <c r="L967" s="5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4"/>
      <c r="L968" s="5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4"/>
      <c r="L969" s="5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4"/>
      <c r="L970" s="5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4"/>
      <c r="L971" s="5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4"/>
      <c r="L972" s="5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4"/>
      <c r="L973" s="5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4"/>
      <c r="L974" s="5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4"/>
      <c r="L975" s="5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4"/>
      <c r="L976" s="5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4"/>
      <c r="L977" s="5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4"/>
      <c r="L978" s="5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4"/>
      <c r="L979" s="5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4"/>
      <c r="L980" s="5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4"/>
      <c r="L981" s="5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4"/>
      <c r="L982" s="5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4"/>
      <c r="L983" s="5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4"/>
      <c r="L984" s="5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</sheetData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